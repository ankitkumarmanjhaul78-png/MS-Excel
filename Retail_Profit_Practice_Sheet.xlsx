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kit\Downloads\"/>
    </mc:Choice>
  </mc:AlternateContent>
  <xr:revisionPtr revIDLastSave="0" documentId="13_ncr:1_{EE8F2E0A-53EA-418A-9F09-1CA5ED3DB8D2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Sheet2" sheetId="4" r:id="rId1"/>
    <sheet name="Sheet1" sheetId="2" r:id="rId2"/>
    <sheet name="Sheet3" sheetId="5" r:id="rId3"/>
    <sheet name="Sheet6" sheetId="8" r:id="rId4"/>
    <sheet name="Retail_Data" sheetId="1" r:id="rId5"/>
    <sheet name="Sheet5" sheetId="7" state="hidden" r:id="rId6"/>
    <sheet name="Sheet4" sheetId="6" state="hidden" r:id="rId7"/>
  </sheets>
  <calcPr calcId="191029"/>
  <pivotCaches>
    <pivotCache cacheId="0" r:id="rId8"/>
    <pivotCache cacheId="3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1" l="1"/>
  <c r="F6" i="2"/>
  <c r="F5" i="2"/>
  <c r="J27" i="1"/>
  <c r="J6" i="1"/>
  <c r="J4" i="1"/>
  <c r="J9" i="1"/>
  <c r="J7" i="1"/>
  <c r="J35" i="1"/>
  <c r="J3" i="1"/>
  <c r="J18" i="1"/>
  <c r="J30" i="1"/>
  <c r="J5" i="1"/>
  <c r="J2" i="1"/>
  <c r="J37" i="1"/>
  <c r="J22" i="1"/>
  <c r="J33" i="1"/>
  <c r="J39" i="1"/>
  <c r="J12" i="1"/>
  <c r="J29" i="1"/>
  <c r="J15" i="1"/>
  <c r="J28" i="1"/>
  <c r="J10" i="1"/>
  <c r="J17" i="1"/>
  <c r="J16" i="1"/>
  <c r="J34" i="1"/>
  <c r="J14" i="1"/>
  <c r="J41" i="1"/>
  <c r="J19" i="1"/>
  <c r="J24" i="1"/>
  <c r="J38" i="1"/>
  <c r="J20" i="1"/>
  <c r="J31" i="1"/>
  <c r="J8" i="1"/>
  <c r="J23" i="1"/>
  <c r="J25" i="1"/>
  <c r="J21" i="1"/>
  <c r="J26" i="1"/>
  <c r="J13" i="1"/>
  <c r="J40" i="1"/>
  <c r="J32" i="1"/>
  <c r="J11" i="1"/>
  <c r="J36" i="1"/>
  <c r="I27" i="1"/>
  <c r="K27" i="1" s="1"/>
  <c r="I6" i="1"/>
  <c r="I4" i="1"/>
  <c r="K4" i="1" s="1"/>
  <c r="I9" i="1"/>
  <c r="K9" i="1" s="1"/>
  <c r="I7" i="1"/>
  <c r="K7" i="1" s="1"/>
  <c r="I35" i="1"/>
  <c r="K35" i="1" s="1"/>
  <c r="I3" i="1"/>
  <c r="K3" i="1" s="1"/>
  <c r="I18" i="1"/>
  <c r="K18" i="1" s="1"/>
  <c r="I30" i="1"/>
  <c r="K30" i="1" s="1"/>
  <c r="I5" i="1"/>
  <c r="K5" i="1" s="1"/>
  <c r="I2" i="1"/>
  <c r="K2" i="1" s="1"/>
  <c r="I37" i="1"/>
  <c r="K37" i="1" s="1"/>
  <c r="I22" i="1"/>
  <c r="K22" i="1" s="1"/>
  <c r="I33" i="1"/>
  <c r="K33" i="1" s="1"/>
  <c r="I39" i="1"/>
  <c r="K39" i="1" s="1"/>
  <c r="I12" i="1"/>
  <c r="K12" i="1" s="1"/>
  <c r="I29" i="1"/>
  <c r="K29" i="1" s="1"/>
  <c r="I15" i="1"/>
  <c r="K15" i="1" s="1"/>
  <c r="I28" i="1"/>
  <c r="K28" i="1" s="1"/>
  <c r="I10" i="1"/>
  <c r="K10" i="1" s="1"/>
  <c r="I17" i="1"/>
  <c r="K17" i="1" s="1"/>
  <c r="I16" i="1"/>
  <c r="K16" i="1" s="1"/>
  <c r="I34" i="1"/>
  <c r="K34" i="1" s="1"/>
  <c r="I14" i="1"/>
  <c r="K14" i="1" s="1"/>
  <c r="I41" i="1"/>
  <c r="K41" i="1" s="1"/>
  <c r="I19" i="1"/>
  <c r="K19" i="1" s="1"/>
  <c r="I24" i="1"/>
  <c r="K24" i="1" s="1"/>
  <c r="I38" i="1"/>
  <c r="K38" i="1" s="1"/>
  <c r="I20" i="1"/>
  <c r="K20" i="1" s="1"/>
  <c r="I31" i="1"/>
  <c r="K31" i="1" s="1"/>
  <c r="I8" i="1"/>
  <c r="K8" i="1" s="1"/>
  <c r="I23" i="1"/>
  <c r="K23" i="1" s="1"/>
  <c r="I25" i="1"/>
  <c r="K25" i="1" s="1"/>
  <c r="I21" i="1"/>
  <c r="K21" i="1" s="1"/>
  <c r="I26" i="1"/>
  <c r="K26" i="1" s="1"/>
  <c r="I13" i="1"/>
  <c r="K13" i="1" s="1"/>
  <c r="I40" i="1"/>
  <c r="K40" i="1" s="1"/>
  <c r="I32" i="1"/>
  <c r="K32" i="1" s="1"/>
  <c r="I11" i="1"/>
  <c r="K11" i="1" s="1"/>
  <c r="I36" i="1"/>
  <c r="K36" i="1" s="1"/>
</calcChain>
</file>

<file path=xl/sharedStrings.xml><?xml version="1.0" encoding="utf-8"?>
<sst xmlns="http://schemas.openxmlformats.org/spreadsheetml/2006/main" count="208" uniqueCount="75">
  <si>
    <t>Bill_No</t>
  </si>
  <si>
    <t>Bill_Date</t>
  </si>
  <si>
    <t>City</t>
  </si>
  <si>
    <t>Category</t>
  </si>
  <si>
    <t>Product</t>
  </si>
  <si>
    <t>Quantity</t>
  </si>
  <si>
    <t>Cost_Price</t>
  </si>
  <si>
    <t>Selling_Price</t>
  </si>
  <si>
    <t>BILL001</t>
  </si>
  <si>
    <t>Delhi</t>
  </si>
  <si>
    <t>Furniture</t>
  </si>
  <si>
    <t>Sofa</t>
  </si>
  <si>
    <t>BILL002</t>
  </si>
  <si>
    <t>Hyderabad</t>
  </si>
  <si>
    <t>Clothing</t>
  </si>
  <si>
    <t>Jeans</t>
  </si>
  <si>
    <t>BILL003</t>
  </si>
  <si>
    <t>Electronics</t>
  </si>
  <si>
    <t>Laptop</t>
  </si>
  <si>
    <t>BILL004</t>
  </si>
  <si>
    <t>BILL005</t>
  </si>
  <si>
    <t>Mobile</t>
  </si>
  <si>
    <t>BILL006</t>
  </si>
  <si>
    <t>Mumbai</t>
  </si>
  <si>
    <t>Table</t>
  </si>
  <si>
    <t>BILL007</t>
  </si>
  <si>
    <t>Bangalore</t>
  </si>
  <si>
    <t>Shirt</t>
  </si>
  <si>
    <t>BILL008</t>
  </si>
  <si>
    <t>Tablet</t>
  </si>
  <si>
    <t>BILL009</t>
  </si>
  <si>
    <t>Jacket</t>
  </si>
  <si>
    <t>BILL010</t>
  </si>
  <si>
    <t>Chennai</t>
  </si>
  <si>
    <t>Chair</t>
  </si>
  <si>
    <t>BILL011</t>
  </si>
  <si>
    <t>BILL012</t>
  </si>
  <si>
    <t>BILL013</t>
  </si>
  <si>
    <t>BILL014</t>
  </si>
  <si>
    <t>BILL015</t>
  </si>
  <si>
    <t>BILL016</t>
  </si>
  <si>
    <t>BILL017</t>
  </si>
  <si>
    <t>BILL018</t>
  </si>
  <si>
    <t>BILL019</t>
  </si>
  <si>
    <t>BILL020</t>
  </si>
  <si>
    <t>BILL021</t>
  </si>
  <si>
    <t>BILL022</t>
  </si>
  <si>
    <t>BILL023</t>
  </si>
  <si>
    <t>BILL024</t>
  </si>
  <si>
    <t>BILL025</t>
  </si>
  <si>
    <t>BILL026</t>
  </si>
  <si>
    <t>BILL027</t>
  </si>
  <si>
    <t>BILL028</t>
  </si>
  <si>
    <t>BILL029</t>
  </si>
  <si>
    <t>BILL030</t>
  </si>
  <si>
    <t>BILL031</t>
  </si>
  <si>
    <t>BILL032</t>
  </si>
  <si>
    <t>BILL033</t>
  </si>
  <si>
    <t>BILL034</t>
  </si>
  <si>
    <t>BILL035</t>
  </si>
  <si>
    <t>BILL036</t>
  </si>
  <si>
    <t>BILL037</t>
  </si>
  <si>
    <t>BILL038</t>
  </si>
  <si>
    <t>BILL039</t>
  </si>
  <si>
    <t>BILL040</t>
  </si>
  <si>
    <t>Total_sales</t>
  </si>
  <si>
    <t>Total_cost</t>
  </si>
  <si>
    <t>Profit</t>
  </si>
  <si>
    <t>Row Labels</t>
  </si>
  <si>
    <t>Grand Total</t>
  </si>
  <si>
    <t>Sum of Profit</t>
  </si>
  <si>
    <t xml:space="preserve"> Sum of Profit</t>
  </si>
  <si>
    <t>Heightest profit</t>
  </si>
  <si>
    <t xml:space="preserve">Lowest profit </t>
  </si>
  <si>
    <t>Sum of Total_sales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</si>
</sst>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Clothing</c:v>
              </c:pt>
              <c:pt idx="1">
                <c:v>Electronics</c:v>
              </c:pt>
              <c:pt idx="2">
                <c:v>Furniture</c:v>
              </c:pt>
              <c:pt idx="3">
                <c:v>Grand Total</c:v>
              </c:pt>
            </c:strLit>
          </c:cat>
          <c:val>
            <c:numLit>
              <c:formatCode>General</c:formatCode>
              <c:ptCount val="4"/>
              <c:pt idx="0">
                <c:v>1539711</c:v>
              </c:pt>
              <c:pt idx="1">
                <c:v>414610</c:v>
              </c:pt>
              <c:pt idx="2">
                <c:v>982994</c:v>
              </c:pt>
              <c:pt idx="3">
                <c:v>2937315</c:v>
              </c:pt>
            </c:numLit>
          </c:val>
          <c:extLst>
            <c:ext xmlns:c16="http://schemas.microsoft.com/office/drawing/2014/chart" uri="{C3380CC4-5D6E-409C-BE32-E72D297353CC}">
              <c16:uniqueId val="{00000000-DAF5-4F15-BEA2-5A6DD63DAB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60161983"/>
        <c:axId val="1260165343"/>
      </c:barChart>
      <c:catAx>
        <c:axId val="126016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165343"/>
        <c:crosses val="autoZero"/>
        <c:auto val="1"/>
        <c:lblAlgn val="ctr"/>
        <c:lblOffset val="100"/>
        <c:noMultiLvlLbl val="0"/>
      </c:catAx>
      <c:valAx>
        <c:axId val="126016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16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Bangalore</c:v>
              </c:pt>
              <c:pt idx="1">
                <c:v>Chennai</c:v>
              </c:pt>
              <c:pt idx="2">
                <c:v>Delhi</c:v>
              </c:pt>
              <c:pt idx="3">
                <c:v>Grand Total</c:v>
              </c:pt>
              <c:pt idx="4">
                <c:v>Hyderabad</c:v>
              </c:pt>
              <c:pt idx="5">
                <c:v>Mumbai</c:v>
              </c:pt>
            </c:strLit>
          </c:cat>
          <c:val>
            <c:numLit>
              <c:formatCode>General</c:formatCode>
              <c:ptCount val="6"/>
              <c:pt idx="0">
                <c:v>189632</c:v>
              </c:pt>
              <c:pt idx="1">
                <c:v>105293</c:v>
              </c:pt>
              <c:pt idx="2">
                <c:v>66330</c:v>
              </c:pt>
              <c:pt idx="3">
                <c:v>487681</c:v>
              </c:pt>
              <c:pt idx="4">
                <c:v>107660</c:v>
              </c:pt>
              <c:pt idx="5">
                <c:v>18766</c:v>
              </c:pt>
            </c:numLit>
          </c:val>
          <c:extLst>
            <c:ext xmlns:c16="http://schemas.microsoft.com/office/drawing/2014/chart" uri="{C3380CC4-5D6E-409C-BE32-E72D297353CC}">
              <c16:uniqueId val="{00000000-3DB3-49D5-8499-4AB274F388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60157663"/>
        <c:axId val="1260158143"/>
      </c:barChart>
      <c:catAx>
        <c:axId val="126015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158143"/>
        <c:crosses val="autoZero"/>
        <c:auto val="1"/>
        <c:lblAlgn val="ctr"/>
        <c:lblOffset val="100"/>
        <c:noMultiLvlLbl val="0"/>
      </c:catAx>
      <c:valAx>
        <c:axId val="126015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157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[Retail_Profit_Practice_Sheet.xlsx]Sheet3!PivotTable12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Sheet3!$A$4:$A$13</c:f>
              <c:strCache>
                <c:ptCount val="9"/>
                <c:pt idx="0">
                  <c:v>Chair</c:v>
                </c:pt>
                <c:pt idx="1">
                  <c:v>Jacket</c:v>
                </c:pt>
                <c:pt idx="2">
                  <c:v>Jeans</c:v>
                </c:pt>
                <c:pt idx="3">
                  <c:v>Laptop</c:v>
                </c:pt>
                <c:pt idx="4">
                  <c:v>Mobile</c:v>
                </c:pt>
                <c:pt idx="5">
                  <c:v>Shirt</c:v>
                </c:pt>
                <c:pt idx="6">
                  <c:v>Sofa</c:v>
                </c:pt>
                <c:pt idx="7">
                  <c:v>Table</c:v>
                </c:pt>
                <c:pt idx="8">
                  <c:v>Tablet</c:v>
                </c:pt>
              </c:strCache>
            </c:strRef>
          </c:cat>
          <c:val>
            <c:numRef>
              <c:f>Sheet3!$B$4:$B$13</c:f>
              <c:numCache>
                <c:formatCode>General</c:formatCode>
                <c:ptCount val="9"/>
                <c:pt idx="0">
                  <c:v>93551</c:v>
                </c:pt>
                <c:pt idx="1">
                  <c:v>127565</c:v>
                </c:pt>
                <c:pt idx="2">
                  <c:v>32801</c:v>
                </c:pt>
                <c:pt idx="3">
                  <c:v>20609</c:v>
                </c:pt>
                <c:pt idx="4">
                  <c:v>15385</c:v>
                </c:pt>
                <c:pt idx="5">
                  <c:v>94154</c:v>
                </c:pt>
                <c:pt idx="6">
                  <c:v>50847</c:v>
                </c:pt>
                <c:pt idx="7">
                  <c:v>5984</c:v>
                </c:pt>
                <c:pt idx="8">
                  <c:v>46785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6E-41D7-96FF-BCB5D5B591E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60170623"/>
        <c:axId val="1260167263"/>
      </c:barChart>
      <c:catAx>
        <c:axId val="1260170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167263"/>
        <c:crosses val="autoZero"/>
        <c:auto val="1"/>
        <c:lblAlgn val="ctr"/>
        <c:lblOffset val="100"/>
        <c:noMultiLvlLbl val="0"/>
      </c:catAx>
      <c:valAx>
        <c:axId val="126016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170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[Retail_Profit_Practice_Sheet.xlsx]Sheet6!PivotTable1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Sheet6!$A$4:$A$9</c:f>
              <c:strCache>
                <c:ptCount val="5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</c:strCache>
            </c:strRef>
          </c:cat>
          <c:val>
            <c:numRef>
              <c:f>Sheet6!$B$4:$B$9</c:f>
              <c:numCache>
                <c:formatCode>General</c:formatCode>
                <c:ptCount val="5"/>
                <c:pt idx="0">
                  <c:v>189632</c:v>
                </c:pt>
                <c:pt idx="1">
                  <c:v>105293</c:v>
                </c:pt>
                <c:pt idx="2">
                  <c:v>66330</c:v>
                </c:pt>
                <c:pt idx="3">
                  <c:v>107660</c:v>
                </c:pt>
                <c:pt idx="4">
                  <c:v>18766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4E-4514-9223-0C013A1BF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02516127"/>
        <c:axId val="1402506047"/>
        <c:axId val="0"/>
      </c:bar3DChart>
      <c:catAx>
        <c:axId val="140251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506047"/>
        <c:crosses val="autoZero"/>
        <c:auto val="1"/>
        <c:lblAlgn val="ctr"/>
        <c:lblOffset val="100"/>
        <c:noMultiLvlLbl val="0"/>
      </c:catAx>
      <c:valAx>
        <c:axId val="140250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51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556260</xdr:colOff>
      <xdr:row>5</xdr:row>
      <xdr:rowOff>106680</xdr:rowOff>
    </xdr:from>
    <xdr:to>
      <xdr:col>14</xdr:col>
      <xdr:colOff>601980</xdr:colOff>
      <xdr:row>26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038C1F-F03E-3A47-181B-074EB9D66A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548640</xdr:colOff>
      <xdr:row>6</xdr:row>
      <xdr:rowOff>22860</xdr:rowOff>
    </xdr:from>
    <xdr:to>
      <xdr:col>18</xdr:col>
      <xdr:colOff>449580</xdr:colOff>
      <xdr:row>27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13CFFE-9F8F-B752-3748-9B5BCCF04D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83820</xdr:colOff>
      <xdr:row>5</xdr:row>
      <xdr:rowOff>38100</xdr:rowOff>
    </xdr:from>
    <xdr:to>
      <xdr:col>16</xdr:col>
      <xdr:colOff>15240</xdr:colOff>
      <xdr:row>27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F438AE-598A-AC71-345F-9C5991F55C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548640</xdr:colOff>
      <xdr:row>6</xdr:row>
      <xdr:rowOff>53340</xdr:rowOff>
    </xdr:from>
    <xdr:to>
      <xdr:col>17</xdr:col>
      <xdr:colOff>259080</xdr:colOff>
      <xdr:row>26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9F9E26-7263-7889-8A93-FE72872A90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kit kumar" refreshedDate="46071.663671296294" createdVersion="8" refreshedVersion="8" minRefreshableVersion="3" recordCount="6" xr:uid="{8BDDA754-CE32-43AC-9A05-27905BEFCC8A}">
  <cacheSource type="worksheet">
    <worksheetSource ref="A3:B9" sheet="Sheet1"/>
  </cacheSource>
  <cacheFields count="2">
    <cacheField name="Row Labels" numFmtId="0">
      <sharedItems count="6">
        <s v="Bangalore"/>
        <s v="Chennai"/>
        <s v="Delhi"/>
        <s v="Hyderabad"/>
        <s v="Mumbai"/>
        <s v="Grand Total"/>
      </sharedItems>
    </cacheField>
    <cacheField name="Sum of Profit" numFmtId="0">
      <sharedItems containsSemiMixedTypes="0" containsString="0" containsNumber="1" containsInteger="1" minValue="18766" maxValue="4876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kit kumar" refreshedDate="46071.670397569447" createdVersion="8" refreshedVersion="8" minRefreshableVersion="3" recordCount="40" xr:uid="{E8405618-E28B-4553-9DEC-5555C8F92FBB}">
  <cacheSource type="worksheet">
    <worksheetSource ref="A1:K41" sheet="Retail_Data"/>
  </cacheSource>
  <cacheFields count="11">
    <cacheField name="Bill_No" numFmtId="0">
      <sharedItems/>
    </cacheField>
    <cacheField name="Bill_Date" numFmtId="14">
      <sharedItems containsSemiMixedTypes="0" containsNonDate="0" containsDate="1" containsString="0" minDate="2025-01-02T00:00:00" maxDate="2025-07-21T00:00:00"/>
    </cacheField>
    <cacheField name="City" numFmtId="0">
      <sharedItems count="5">
        <s v="Chennai"/>
        <s v="Bangalore"/>
        <s v="Hyderabad"/>
        <s v="Delhi"/>
        <s v="Mumbai"/>
      </sharedItems>
    </cacheField>
    <cacheField name="Category" numFmtId="0">
      <sharedItems count="3">
        <s v="Clothing"/>
        <s v="Electronics"/>
        <s v="Furniture"/>
      </sharedItems>
    </cacheField>
    <cacheField name="Product" numFmtId="0">
      <sharedItems count="9">
        <s v="Jacket"/>
        <s v="Tablet"/>
        <s v="Jeans"/>
        <s v="Laptop"/>
        <s v="Table"/>
        <s v="Mobile"/>
        <s v="Sofa"/>
        <s v="Chair"/>
        <s v="Shirt"/>
      </sharedItems>
    </cacheField>
    <cacheField name="Quantity" numFmtId="0">
      <sharedItems containsSemiMixedTypes="0" containsString="0" containsNumber="1" containsInteger="1" minValue="1" maxValue="8"/>
    </cacheField>
    <cacheField name="Cost_Price" numFmtId="0">
      <sharedItems containsSemiMixedTypes="0" containsString="0" containsNumber="1" containsInteger="1" minValue="607" maxValue="28818"/>
    </cacheField>
    <cacheField name="Selling_Price" numFmtId="0">
      <sharedItems containsSemiMixedTypes="0" containsString="0" containsNumber="1" containsInteger="1" minValue="1493" maxValue="33026"/>
    </cacheField>
    <cacheField name="Total_sales" numFmtId="0">
      <sharedItems containsSemiMixedTypes="0" containsString="0" containsNumber="1" containsInteger="1" minValue="2375" maxValue="254776"/>
    </cacheField>
    <cacheField name="Total_cost" numFmtId="0">
      <sharedItems containsSemiMixedTypes="0" containsString="0" containsNumber="1" containsInteger="1" minValue="607" maxValue="227192"/>
    </cacheField>
    <cacheField name="Profit" numFmtId="0">
      <sharedItems containsSemiMixedTypes="0" containsString="0" containsNumber="1" containsInteger="1" minValue="951" maxValue="385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89632"/>
  </r>
  <r>
    <x v="1"/>
    <n v="105293"/>
  </r>
  <r>
    <x v="2"/>
    <n v="66330"/>
  </r>
  <r>
    <x v="3"/>
    <n v="107660"/>
  </r>
  <r>
    <x v="4"/>
    <n v="18766"/>
  </r>
  <r>
    <x v="5"/>
    <n v="48768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BILL012"/>
    <d v="2025-01-10T00:00:00"/>
    <x v="0"/>
    <x v="0"/>
    <x v="0"/>
    <n v="1"/>
    <n v="607"/>
    <n v="2375"/>
    <n v="2375"/>
    <n v="607"/>
    <n v="1768"/>
  </r>
  <r>
    <s v="BILL008"/>
    <d v="2025-06-27T00:00:00"/>
    <x v="1"/>
    <x v="1"/>
    <x v="1"/>
    <n v="6"/>
    <n v="637"/>
    <n v="4378"/>
    <n v="26268"/>
    <n v="3822"/>
    <n v="22446"/>
  </r>
  <r>
    <s v="BILL004"/>
    <d v="2025-01-02T00:00:00"/>
    <x v="2"/>
    <x v="0"/>
    <x v="2"/>
    <n v="6"/>
    <n v="834"/>
    <n v="1493"/>
    <n v="8958"/>
    <n v="5004"/>
    <n v="3954"/>
  </r>
  <r>
    <s v="BILL011"/>
    <d v="2025-01-06T00:00:00"/>
    <x v="1"/>
    <x v="0"/>
    <x v="0"/>
    <n v="8"/>
    <n v="969"/>
    <n v="3278"/>
    <n v="26224"/>
    <n v="7752"/>
    <n v="18472"/>
  </r>
  <r>
    <s v="BILL003"/>
    <d v="2025-02-27T00:00:00"/>
    <x v="3"/>
    <x v="1"/>
    <x v="3"/>
    <n v="1"/>
    <n v="9285"/>
    <n v="11288"/>
    <n v="11288"/>
    <n v="9285"/>
    <n v="2003"/>
  </r>
  <r>
    <s v="BILL006"/>
    <d v="2025-05-20T00:00:00"/>
    <x v="4"/>
    <x v="2"/>
    <x v="4"/>
    <n v="1"/>
    <n v="9943"/>
    <n v="14657"/>
    <n v="14657"/>
    <n v="9943"/>
    <n v="4714"/>
  </r>
  <r>
    <s v="BILL032"/>
    <d v="2025-04-17T00:00:00"/>
    <x v="3"/>
    <x v="1"/>
    <x v="5"/>
    <n v="7"/>
    <n v="1483"/>
    <n v="3244"/>
    <n v="22708"/>
    <n v="10381"/>
    <n v="12327"/>
  </r>
  <r>
    <s v="BILL005"/>
    <d v="2025-03-14T00:00:00"/>
    <x v="2"/>
    <x v="1"/>
    <x v="5"/>
    <n v="1"/>
    <n v="13696"/>
    <n v="16754"/>
    <n v="16754"/>
    <n v="13696"/>
    <n v="3058"/>
  </r>
  <r>
    <s v="BILL021"/>
    <d v="2025-05-26T00:00:00"/>
    <x v="4"/>
    <x v="0"/>
    <x v="2"/>
    <n v="1"/>
    <n v="16148"/>
    <n v="20107"/>
    <n v="20107"/>
    <n v="16148"/>
    <n v="3959"/>
  </r>
  <r>
    <s v="BILL040"/>
    <d v="2025-04-07T00:00:00"/>
    <x v="4"/>
    <x v="1"/>
    <x v="1"/>
    <n v="3"/>
    <n v="6281"/>
    <n v="6598"/>
    <n v="19794"/>
    <n v="18843"/>
    <n v="951"/>
  </r>
  <r>
    <s v="BILL017"/>
    <d v="2025-02-25T00:00:00"/>
    <x v="3"/>
    <x v="0"/>
    <x v="2"/>
    <n v="4"/>
    <n v="5353"/>
    <n v="5632"/>
    <n v="22528"/>
    <n v="21412"/>
    <n v="1116"/>
  </r>
  <r>
    <s v="BILL037"/>
    <d v="2025-01-23T00:00:00"/>
    <x v="2"/>
    <x v="2"/>
    <x v="6"/>
    <n v="1"/>
    <n v="22311"/>
    <n v="26713"/>
    <n v="26713"/>
    <n v="22311"/>
    <n v="4402"/>
  </r>
  <r>
    <s v="BILL025"/>
    <d v="2025-06-20T00:00:00"/>
    <x v="0"/>
    <x v="2"/>
    <x v="6"/>
    <n v="2"/>
    <n v="11457"/>
    <n v="14728"/>
    <n v="29456"/>
    <n v="22914"/>
    <n v="6542"/>
  </r>
  <r>
    <s v="BILL019"/>
    <d v="2025-05-21T00:00:00"/>
    <x v="0"/>
    <x v="0"/>
    <x v="0"/>
    <n v="3"/>
    <n v="7989"/>
    <n v="8649"/>
    <n v="25947"/>
    <n v="23967"/>
    <n v="1980"/>
  </r>
  <r>
    <s v="BILL023"/>
    <d v="2025-06-28T00:00:00"/>
    <x v="3"/>
    <x v="2"/>
    <x v="7"/>
    <n v="5"/>
    <n v="5898"/>
    <n v="9221"/>
    <n v="46105"/>
    <n v="29490"/>
    <n v="16615"/>
  </r>
  <r>
    <s v="BILL022"/>
    <d v="2025-05-14T00:00:00"/>
    <x v="4"/>
    <x v="2"/>
    <x v="4"/>
    <n v="5"/>
    <n v="6191"/>
    <n v="6445"/>
    <n v="32225"/>
    <n v="30955"/>
    <n v="1270"/>
  </r>
  <r>
    <s v="BILL009"/>
    <d v="2025-01-23T00:00:00"/>
    <x v="1"/>
    <x v="0"/>
    <x v="0"/>
    <n v="7"/>
    <n v="5606"/>
    <n v="8288"/>
    <n v="58016"/>
    <n v="39242"/>
    <n v="18774"/>
  </r>
  <r>
    <s v="BILL027"/>
    <d v="2025-05-01T00:00:00"/>
    <x v="4"/>
    <x v="0"/>
    <x v="8"/>
    <n v="2"/>
    <n v="20683"/>
    <n v="24619"/>
    <n v="49238"/>
    <n v="41366"/>
    <n v="7872"/>
  </r>
  <r>
    <s v="BILL030"/>
    <d v="2025-06-02T00:00:00"/>
    <x v="1"/>
    <x v="0"/>
    <x v="0"/>
    <n v="8"/>
    <n v="5359"/>
    <n v="9246"/>
    <n v="73968"/>
    <n v="42872"/>
    <n v="31096"/>
  </r>
  <r>
    <s v="BILL035"/>
    <d v="2025-06-28T00:00:00"/>
    <x v="3"/>
    <x v="0"/>
    <x v="2"/>
    <n v="3"/>
    <n v="15643"/>
    <n v="17474"/>
    <n v="52422"/>
    <n v="46929"/>
    <n v="5493"/>
  </r>
  <r>
    <s v="BILL014"/>
    <d v="2025-04-30T00:00:00"/>
    <x v="0"/>
    <x v="0"/>
    <x v="0"/>
    <n v="8"/>
    <n v="6181"/>
    <n v="10996"/>
    <n v="87968"/>
    <n v="49448"/>
    <n v="38520"/>
  </r>
  <r>
    <s v="BILL033"/>
    <d v="2025-03-05T00:00:00"/>
    <x v="2"/>
    <x v="2"/>
    <x v="6"/>
    <n v="2"/>
    <n v="24845"/>
    <n v="26996"/>
    <n v="53992"/>
    <n v="49690"/>
    <n v="4302"/>
  </r>
  <r>
    <s v="BILL028"/>
    <d v="2025-05-19T00:00:00"/>
    <x v="3"/>
    <x v="1"/>
    <x v="1"/>
    <n v="2"/>
    <n v="27772"/>
    <n v="32502"/>
    <n v="65004"/>
    <n v="55544"/>
    <n v="9460"/>
  </r>
  <r>
    <s v="BILL034"/>
    <d v="2025-06-05T00:00:00"/>
    <x v="1"/>
    <x v="0"/>
    <x v="0"/>
    <n v="4"/>
    <n v="14129"/>
    <n v="17526"/>
    <n v="70104"/>
    <n v="56516"/>
    <n v="13588"/>
  </r>
  <r>
    <s v="BILL036"/>
    <d v="2025-03-06T00:00:00"/>
    <x v="2"/>
    <x v="2"/>
    <x v="6"/>
    <n v="3"/>
    <n v="19664"/>
    <n v="23427"/>
    <n v="70281"/>
    <n v="58992"/>
    <n v="11289"/>
  </r>
  <r>
    <s v="BILL002"/>
    <d v="2025-01-04T00:00:00"/>
    <x v="2"/>
    <x v="0"/>
    <x v="2"/>
    <n v="3"/>
    <n v="20943"/>
    <n v="23794"/>
    <n v="71382"/>
    <n v="62829"/>
    <n v="8553"/>
  </r>
  <r>
    <s v="BILL020"/>
    <d v="2025-01-02T00:00:00"/>
    <x v="1"/>
    <x v="0"/>
    <x v="8"/>
    <n v="8"/>
    <n v="8625"/>
    <n v="12747"/>
    <n v="101976"/>
    <n v="69000"/>
    <n v="32976"/>
  </r>
  <r>
    <s v="BILL018"/>
    <d v="2025-07-14T00:00:00"/>
    <x v="3"/>
    <x v="2"/>
    <x v="7"/>
    <n v="4"/>
    <n v="18646"/>
    <n v="21605"/>
    <n v="86420"/>
    <n v="74584"/>
    <n v="11836"/>
  </r>
  <r>
    <s v="BILL010"/>
    <d v="2025-05-19T00:00:00"/>
    <x v="0"/>
    <x v="2"/>
    <x v="7"/>
    <n v="3"/>
    <n v="27636"/>
    <n v="32485"/>
    <n v="97455"/>
    <n v="82908"/>
    <n v="14547"/>
  </r>
  <r>
    <s v="BILL031"/>
    <d v="2025-04-27T00:00:00"/>
    <x v="2"/>
    <x v="2"/>
    <x v="7"/>
    <n v="5"/>
    <n v="16667"/>
    <n v="21176"/>
    <n v="105880"/>
    <n v="83335"/>
    <n v="22545"/>
  </r>
  <r>
    <s v="BILL039"/>
    <d v="2025-07-08T00:00:00"/>
    <x v="2"/>
    <x v="1"/>
    <x v="3"/>
    <n v="7"/>
    <n v="12156"/>
    <n v="14814"/>
    <n v="103698"/>
    <n v="85092"/>
    <n v="18606"/>
  </r>
  <r>
    <s v="BILL015"/>
    <d v="2025-07-15T00:00:00"/>
    <x v="1"/>
    <x v="0"/>
    <x v="2"/>
    <n v="6"/>
    <n v="18528"/>
    <n v="20149"/>
    <n v="120894"/>
    <n v="111168"/>
    <n v="9726"/>
  </r>
  <r>
    <s v="BILL024"/>
    <d v="2025-06-29T00:00:00"/>
    <x v="1"/>
    <x v="2"/>
    <x v="6"/>
    <n v="4"/>
    <n v="28818"/>
    <n v="33026"/>
    <n v="132104"/>
    <n v="115272"/>
    <n v="16832"/>
  </r>
  <r>
    <s v="BILL007"/>
    <d v="2025-05-05T00:00:00"/>
    <x v="1"/>
    <x v="0"/>
    <x v="8"/>
    <n v="6"/>
    <n v="19360"/>
    <n v="20298"/>
    <n v="121788"/>
    <n v="116160"/>
    <n v="5628"/>
  </r>
  <r>
    <s v="BILL001"/>
    <d v="2025-06-04T00:00:00"/>
    <x v="3"/>
    <x v="2"/>
    <x v="6"/>
    <n v="5"/>
    <n v="24862"/>
    <n v="26358"/>
    <n v="131790"/>
    <n v="124310"/>
    <n v="7480"/>
  </r>
  <r>
    <s v="BILL013"/>
    <d v="2025-05-23T00:00:00"/>
    <x v="0"/>
    <x v="2"/>
    <x v="7"/>
    <n v="6"/>
    <n v="21318"/>
    <n v="25986"/>
    <n v="155916"/>
    <n v="127908"/>
    <n v="28008"/>
  </r>
  <r>
    <s v="BILL029"/>
    <d v="2025-03-17T00:00:00"/>
    <x v="0"/>
    <x v="1"/>
    <x v="1"/>
    <n v="8"/>
    <n v="16896"/>
    <n v="18637"/>
    <n v="149096"/>
    <n v="135168"/>
    <n v="13928"/>
  </r>
  <r>
    <s v="BILL016"/>
    <d v="2025-07-20T00:00:00"/>
    <x v="1"/>
    <x v="0"/>
    <x v="8"/>
    <n v="6"/>
    <n v="25010"/>
    <n v="28359"/>
    <n v="170154"/>
    <n v="150060"/>
    <n v="20094"/>
  </r>
  <r>
    <s v="BILL038"/>
    <d v="2025-05-16T00:00:00"/>
    <x v="2"/>
    <x v="0"/>
    <x v="0"/>
    <n v="7"/>
    <n v="28217"/>
    <n v="28698"/>
    <n v="200886"/>
    <n v="197519"/>
    <n v="3367"/>
  </r>
  <r>
    <s v="BILL026"/>
    <d v="2025-02-03T00:00:00"/>
    <x v="2"/>
    <x v="0"/>
    <x v="8"/>
    <n v="8"/>
    <n v="28399"/>
    <n v="31847"/>
    <n v="254776"/>
    <n v="227192"/>
    <n v="275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A13CD3-0401-4F9C-9342-99C048851E13}" name="PivotTable1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1">
    <pivotField showAll="0"/>
    <pivotField numFmtId="14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0FE4FF-8E70-46E7-8855-73033CB3706F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:B9" firstHeaderRow="1" firstDataRow="1" firstDataCol="1"/>
  <pivotFields count="2">
    <pivotField axis="axisRow" showAll="0" sortType="ascending">
      <items count="7">
        <item x="0"/>
        <item x="1"/>
        <item x="2"/>
        <item x="5"/>
        <item x="3"/>
        <item x="4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 Sum of Profit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F56A7D-4816-4141-A2AE-B7130936672F}" name="PivotTable1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3" firstHeaderRow="1" firstDataRow="1" firstDataCol="1"/>
  <pivotFields count="11">
    <pivotField showAll="0"/>
    <pivotField numFmtId="14" showAll="0"/>
    <pivotField showAll="0"/>
    <pivotField showAll="0"/>
    <pivotField axis="axisRow" showAll="0">
      <items count="10">
        <item x="7"/>
        <item x="0"/>
        <item x="2"/>
        <item x="3"/>
        <item x="5"/>
        <item x="8"/>
        <item x="6"/>
        <item x="4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Profit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5FD295-BCF8-45A2-9DD1-6116FE194C1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9" firstHeaderRow="1" firstDataRow="1" firstDataCol="1"/>
  <pivotFields count="11">
    <pivotField showAll="0"/>
    <pivotField numFmtId="14" showAll="0"/>
    <pivotField axis="axisRow"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0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283B6-43B4-419C-A2FB-620D952813BF}">
  <dimension ref="A3:B7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6.77734375" bestFit="1" customWidth="1"/>
    <col min="14" max="14" width="12.5546875" bestFit="1" customWidth="1"/>
    <col min="15" max="15" width="23.44140625" bestFit="1" customWidth="1"/>
  </cols>
  <sheetData>
    <row r="3" spans="1:2" x14ac:dyDescent="0.3">
      <c r="A3" s="2" t="s">
        <v>68</v>
      </c>
      <c r="B3" t="s">
        <v>74</v>
      </c>
    </row>
    <row r="4" spans="1:2" x14ac:dyDescent="0.3">
      <c r="A4" s="3" t="s">
        <v>14</v>
      </c>
      <c r="B4">
        <v>1539711</v>
      </c>
    </row>
    <row r="5" spans="1:2" x14ac:dyDescent="0.3">
      <c r="A5" s="3" t="s">
        <v>17</v>
      </c>
      <c r="B5">
        <v>414610</v>
      </c>
    </row>
    <row r="6" spans="1:2" x14ac:dyDescent="0.3">
      <c r="A6" s="3" t="s">
        <v>10</v>
      </c>
      <c r="B6">
        <v>982994</v>
      </c>
    </row>
    <row r="7" spans="1:2" x14ac:dyDescent="0.3">
      <c r="A7" s="3" t="s">
        <v>69</v>
      </c>
      <c r="B7">
        <v>2937315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CD9E8-3C5D-4A64-B3A4-5D7A6077BCAC}">
  <dimension ref="A2:F9"/>
  <sheetViews>
    <sheetView workbookViewId="0">
      <selection activeCell="F7" sqref="F7"/>
    </sheetView>
  </sheetViews>
  <sheetFormatPr defaultRowHeight="14.4" x14ac:dyDescent="0.3"/>
  <cols>
    <col min="1" max="1" width="12.5546875" bestFit="1" customWidth="1"/>
    <col min="2" max="2" width="18.77734375" bestFit="1" customWidth="1"/>
    <col min="5" max="5" width="12.5546875" bestFit="1" customWidth="1"/>
    <col min="6" max="6" width="18.77734375" bestFit="1" customWidth="1"/>
  </cols>
  <sheetData>
    <row r="2" spans="1:6" x14ac:dyDescent="0.3">
      <c r="A2" s="2" t="s">
        <v>68</v>
      </c>
      <c r="B2" t="s">
        <v>71</v>
      </c>
    </row>
    <row r="3" spans="1:6" x14ac:dyDescent="0.3">
      <c r="A3" s="3" t="s">
        <v>26</v>
      </c>
      <c r="B3">
        <v>189632</v>
      </c>
    </row>
    <row r="4" spans="1:6" x14ac:dyDescent="0.3">
      <c r="A4" s="3" t="s">
        <v>33</v>
      </c>
      <c r="B4">
        <v>105293</v>
      </c>
    </row>
    <row r="5" spans="1:6" x14ac:dyDescent="0.3">
      <c r="A5" s="3" t="s">
        <v>9</v>
      </c>
      <c r="B5">
        <v>66330</v>
      </c>
      <c r="D5" t="s">
        <v>72</v>
      </c>
      <c r="F5">
        <f>MAX(B3:B8)</f>
        <v>487681</v>
      </c>
    </row>
    <row r="6" spans="1:6" x14ac:dyDescent="0.3">
      <c r="A6" s="3" t="s">
        <v>69</v>
      </c>
      <c r="B6">
        <v>487681</v>
      </c>
      <c r="D6" t="s">
        <v>73</v>
      </c>
      <c r="F6">
        <f>MIN(B3:B8)</f>
        <v>18766</v>
      </c>
    </row>
    <row r="7" spans="1:6" x14ac:dyDescent="0.3">
      <c r="A7" s="3" t="s">
        <v>13</v>
      </c>
      <c r="B7">
        <v>107660</v>
      </c>
    </row>
    <row r="8" spans="1:6" x14ac:dyDescent="0.3">
      <c r="A8" s="3" t="s">
        <v>23</v>
      </c>
      <c r="B8">
        <v>18766</v>
      </c>
    </row>
    <row r="9" spans="1:6" x14ac:dyDescent="0.3">
      <c r="A9" s="3" t="s">
        <v>69</v>
      </c>
      <c r="B9">
        <v>975362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73D5-DA89-4A52-8DCB-9A2B5CA727BE}">
  <dimension ref="A3:B13"/>
  <sheetViews>
    <sheetView workbookViewId="0">
      <selection activeCell="D7" sqref="D7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3" spans="1:2" x14ac:dyDescent="0.3">
      <c r="A3" s="2" t="s">
        <v>68</v>
      </c>
      <c r="B3" t="s">
        <v>70</v>
      </c>
    </row>
    <row r="4" spans="1:2" x14ac:dyDescent="0.3">
      <c r="A4" s="3" t="s">
        <v>34</v>
      </c>
      <c r="B4">
        <v>93551</v>
      </c>
    </row>
    <row r="5" spans="1:2" x14ac:dyDescent="0.3">
      <c r="A5" s="3" t="s">
        <v>31</v>
      </c>
      <c r="B5">
        <v>127565</v>
      </c>
    </row>
    <row r="6" spans="1:2" x14ac:dyDescent="0.3">
      <c r="A6" s="3" t="s">
        <v>15</v>
      </c>
      <c r="B6">
        <v>32801</v>
      </c>
    </row>
    <row r="7" spans="1:2" x14ac:dyDescent="0.3">
      <c r="A7" s="3" t="s">
        <v>18</v>
      </c>
      <c r="B7">
        <v>20609</v>
      </c>
    </row>
    <row r="8" spans="1:2" x14ac:dyDescent="0.3">
      <c r="A8" s="3" t="s">
        <v>21</v>
      </c>
      <c r="B8">
        <v>15385</v>
      </c>
    </row>
    <row r="9" spans="1:2" x14ac:dyDescent="0.3">
      <c r="A9" s="3" t="s">
        <v>27</v>
      </c>
      <c r="B9">
        <v>94154</v>
      </c>
    </row>
    <row r="10" spans="1:2" x14ac:dyDescent="0.3">
      <c r="A10" s="3" t="s">
        <v>11</v>
      </c>
      <c r="B10">
        <v>50847</v>
      </c>
    </row>
    <row r="11" spans="1:2" x14ac:dyDescent="0.3">
      <c r="A11" s="3" t="s">
        <v>24</v>
      </c>
      <c r="B11">
        <v>5984</v>
      </c>
    </row>
    <row r="12" spans="1:2" x14ac:dyDescent="0.3">
      <c r="A12" s="3" t="s">
        <v>29</v>
      </c>
      <c r="B12">
        <v>46785</v>
      </c>
    </row>
    <row r="13" spans="1:2" x14ac:dyDescent="0.3">
      <c r="A13" s="3" t="s">
        <v>69</v>
      </c>
      <c r="B13">
        <v>487681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0C57C-54CC-4C3E-8035-48E9261BBF2B}">
  <dimension ref="A3:B9"/>
  <sheetViews>
    <sheetView workbookViewId="0">
      <selection activeCell="Q15" sqref="Q14:Q15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3" spans="1:2" x14ac:dyDescent="0.3">
      <c r="A3" s="2" t="s">
        <v>68</v>
      </c>
      <c r="B3" t="s">
        <v>70</v>
      </c>
    </row>
    <row r="4" spans="1:2" x14ac:dyDescent="0.3">
      <c r="A4" s="3" t="s">
        <v>26</v>
      </c>
      <c r="B4" s="4">
        <v>189632</v>
      </c>
    </row>
    <row r="5" spans="1:2" x14ac:dyDescent="0.3">
      <c r="A5" s="3" t="s">
        <v>33</v>
      </c>
      <c r="B5" s="4">
        <v>105293</v>
      </c>
    </row>
    <row r="6" spans="1:2" x14ac:dyDescent="0.3">
      <c r="A6" s="3" t="s">
        <v>9</v>
      </c>
      <c r="B6" s="4">
        <v>66330</v>
      </c>
    </row>
    <row r="7" spans="1:2" x14ac:dyDescent="0.3">
      <c r="A7" s="3" t="s">
        <v>13</v>
      </c>
      <c r="B7" s="4">
        <v>107660</v>
      </c>
    </row>
    <row r="8" spans="1:2" x14ac:dyDescent="0.3">
      <c r="A8" s="3" t="s">
        <v>23</v>
      </c>
      <c r="B8" s="4">
        <v>18766</v>
      </c>
    </row>
    <row r="9" spans="1:2" x14ac:dyDescent="0.3">
      <c r="A9" s="3" t="s">
        <v>69</v>
      </c>
      <c r="B9" s="4">
        <v>487681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selection activeCell="K20" sqref="K20"/>
    </sheetView>
  </sheetViews>
  <sheetFormatPr defaultRowHeight="14.4" x14ac:dyDescent="0.3"/>
  <cols>
    <col min="2" max="2" width="17" style="1" bestFit="1" customWidth="1"/>
    <col min="3" max="3" width="9.77734375" bestFit="1" customWidth="1"/>
    <col min="4" max="4" width="9.88671875" bestFit="1" customWidth="1"/>
    <col min="5" max="5" width="7.33203125" bestFit="1" customWidth="1"/>
    <col min="6" max="6" width="8" bestFit="1" customWidth="1"/>
    <col min="7" max="7" width="9.6640625" bestFit="1" customWidth="1"/>
    <col min="8" max="8" width="11.109375" bestFit="1" customWidth="1"/>
    <col min="9" max="9" width="10.21875" bestFit="1" customWidth="1"/>
    <col min="10" max="10" width="9.6640625" bestFit="1" customWidth="1"/>
  </cols>
  <sheetData>
    <row r="1" spans="1:11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65</v>
      </c>
      <c r="J1" t="s">
        <v>66</v>
      </c>
      <c r="K1" t="s">
        <v>67</v>
      </c>
    </row>
    <row r="2" spans="1:11" x14ac:dyDescent="0.3">
      <c r="A2" t="s">
        <v>36</v>
      </c>
      <c r="B2" s="1">
        <v>45667</v>
      </c>
      <c r="C2" t="s">
        <v>33</v>
      </c>
      <c r="D2" t="s">
        <v>14</v>
      </c>
      <c r="E2" t="s">
        <v>31</v>
      </c>
      <c r="F2">
        <v>1</v>
      </c>
      <c r="G2">
        <v>607</v>
      </c>
      <c r="H2">
        <v>2375</v>
      </c>
      <c r="I2">
        <f t="shared" ref="I2:I41" si="0">PRODUCT(F2,H2)</f>
        <v>2375</v>
      </c>
      <c r="J2">
        <f t="shared" ref="J2:J41" si="1">PRODUCT(F2,G2)</f>
        <v>607</v>
      </c>
      <c r="K2">
        <f t="shared" ref="K2:K41" si="2">I2-J2</f>
        <v>1768</v>
      </c>
    </row>
    <row r="3" spans="1:11" x14ac:dyDescent="0.3">
      <c r="A3" t="s">
        <v>28</v>
      </c>
      <c r="B3" s="1">
        <v>45835</v>
      </c>
      <c r="C3" t="s">
        <v>26</v>
      </c>
      <c r="D3" t="s">
        <v>17</v>
      </c>
      <c r="E3" t="s">
        <v>29</v>
      </c>
      <c r="F3">
        <v>6</v>
      </c>
      <c r="G3">
        <v>637</v>
      </c>
      <c r="H3">
        <v>4378</v>
      </c>
      <c r="I3">
        <f t="shared" si="0"/>
        <v>26268</v>
      </c>
      <c r="J3">
        <f t="shared" si="1"/>
        <v>3822</v>
      </c>
      <c r="K3">
        <f t="shared" si="2"/>
        <v>22446</v>
      </c>
    </row>
    <row r="4" spans="1:11" x14ac:dyDescent="0.3">
      <c r="A4" t="s">
        <v>19</v>
      </c>
      <c r="B4" s="1">
        <v>45659</v>
      </c>
      <c r="C4" t="s">
        <v>13</v>
      </c>
      <c r="D4" t="s">
        <v>14</v>
      </c>
      <c r="E4" t="s">
        <v>15</v>
      </c>
      <c r="F4">
        <v>6</v>
      </c>
      <c r="G4">
        <v>834</v>
      </c>
      <c r="H4">
        <v>1493</v>
      </c>
      <c r="I4">
        <f t="shared" si="0"/>
        <v>8958</v>
      </c>
      <c r="J4">
        <f t="shared" si="1"/>
        <v>5004</v>
      </c>
      <c r="K4">
        <f t="shared" si="2"/>
        <v>3954</v>
      </c>
    </row>
    <row r="5" spans="1:11" x14ac:dyDescent="0.3">
      <c r="A5" t="s">
        <v>35</v>
      </c>
      <c r="B5" s="1">
        <v>45663</v>
      </c>
      <c r="C5" t="s">
        <v>26</v>
      </c>
      <c r="D5" t="s">
        <v>14</v>
      </c>
      <c r="E5" t="s">
        <v>31</v>
      </c>
      <c r="F5">
        <v>8</v>
      </c>
      <c r="G5">
        <v>969</v>
      </c>
      <c r="H5">
        <v>3278</v>
      </c>
      <c r="I5">
        <f t="shared" si="0"/>
        <v>26224</v>
      </c>
      <c r="J5">
        <f t="shared" si="1"/>
        <v>7752</v>
      </c>
      <c r="K5">
        <f t="shared" si="2"/>
        <v>18472</v>
      </c>
    </row>
    <row r="6" spans="1:11" x14ac:dyDescent="0.3">
      <c r="A6" t="s">
        <v>16</v>
      </c>
      <c r="B6" s="1">
        <v>45715</v>
      </c>
      <c r="C6" t="s">
        <v>9</v>
      </c>
      <c r="D6" t="s">
        <v>17</v>
      </c>
      <c r="E6" t="s">
        <v>18</v>
      </c>
      <c r="F6">
        <v>1</v>
      </c>
      <c r="G6">
        <v>9285</v>
      </c>
      <c r="H6">
        <v>11288</v>
      </c>
      <c r="I6">
        <f t="shared" si="0"/>
        <v>11288</v>
      </c>
      <c r="J6">
        <f t="shared" si="1"/>
        <v>9285</v>
      </c>
      <c r="K6">
        <f t="shared" si="2"/>
        <v>2003</v>
      </c>
    </row>
    <row r="7" spans="1:11" x14ac:dyDescent="0.3">
      <c r="A7" t="s">
        <v>22</v>
      </c>
      <c r="B7" s="1">
        <v>45797</v>
      </c>
      <c r="C7" t="s">
        <v>23</v>
      </c>
      <c r="D7" t="s">
        <v>10</v>
      </c>
      <c r="E7" t="s">
        <v>24</v>
      </c>
      <c r="F7">
        <v>1</v>
      </c>
      <c r="G7">
        <v>9943</v>
      </c>
      <c r="H7">
        <v>14657</v>
      </c>
      <c r="I7">
        <f t="shared" si="0"/>
        <v>14657</v>
      </c>
      <c r="J7">
        <f t="shared" si="1"/>
        <v>9943</v>
      </c>
      <c r="K7">
        <f t="shared" si="2"/>
        <v>4714</v>
      </c>
    </row>
    <row r="8" spans="1:11" x14ac:dyDescent="0.3">
      <c r="A8" t="s">
        <v>56</v>
      </c>
      <c r="B8" s="1">
        <v>45764</v>
      </c>
      <c r="C8" t="s">
        <v>9</v>
      </c>
      <c r="D8" t="s">
        <v>17</v>
      </c>
      <c r="E8" t="s">
        <v>21</v>
      </c>
      <c r="F8">
        <v>7</v>
      </c>
      <c r="G8">
        <v>1483</v>
      </c>
      <c r="H8">
        <v>3244</v>
      </c>
      <c r="I8">
        <f t="shared" si="0"/>
        <v>22708</v>
      </c>
      <c r="J8">
        <f t="shared" si="1"/>
        <v>10381</v>
      </c>
      <c r="K8">
        <f t="shared" si="2"/>
        <v>12327</v>
      </c>
    </row>
    <row r="9" spans="1:11" x14ac:dyDescent="0.3">
      <c r="A9" t="s">
        <v>20</v>
      </c>
      <c r="B9" s="1">
        <v>45730</v>
      </c>
      <c r="C9" t="s">
        <v>13</v>
      </c>
      <c r="D9" t="s">
        <v>17</v>
      </c>
      <c r="E9" t="s">
        <v>21</v>
      </c>
      <c r="F9">
        <v>1</v>
      </c>
      <c r="G9">
        <v>13696</v>
      </c>
      <c r="H9">
        <v>16754</v>
      </c>
      <c r="I9">
        <f t="shared" si="0"/>
        <v>16754</v>
      </c>
      <c r="J9">
        <f t="shared" si="1"/>
        <v>13696</v>
      </c>
      <c r="K9">
        <f t="shared" si="2"/>
        <v>3058</v>
      </c>
    </row>
    <row r="10" spans="1:11" x14ac:dyDescent="0.3">
      <c r="A10" t="s">
        <v>45</v>
      </c>
      <c r="B10" s="1">
        <v>45803</v>
      </c>
      <c r="C10" t="s">
        <v>23</v>
      </c>
      <c r="D10" t="s">
        <v>14</v>
      </c>
      <c r="E10" t="s">
        <v>15</v>
      </c>
      <c r="F10">
        <v>1</v>
      </c>
      <c r="G10">
        <v>16148</v>
      </c>
      <c r="H10">
        <v>20107</v>
      </c>
      <c r="I10">
        <f t="shared" si="0"/>
        <v>20107</v>
      </c>
      <c r="J10">
        <f t="shared" si="1"/>
        <v>16148</v>
      </c>
      <c r="K10">
        <f t="shared" si="2"/>
        <v>3959</v>
      </c>
    </row>
    <row r="11" spans="1:11" x14ac:dyDescent="0.3">
      <c r="A11" t="s">
        <v>64</v>
      </c>
      <c r="B11" s="1">
        <v>45754</v>
      </c>
      <c r="C11" t="s">
        <v>23</v>
      </c>
      <c r="D11" t="s">
        <v>17</v>
      </c>
      <c r="E11" t="s">
        <v>29</v>
      </c>
      <c r="F11">
        <v>3</v>
      </c>
      <c r="G11">
        <v>6281</v>
      </c>
      <c r="H11">
        <v>6598</v>
      </c>
      <c r="I11">
        <f t="shared" si="0"/>
        <v>19794</v>
      </c>
      <c r="J11">
        <f t="shared" si="1"/>
        <v>18843</v>
      </c>
      <c r="K11">
        <f t="shared" si="2"/>
        <v>951</v>
      </c>
    </row>
    <row r="12" spans="1:11" x14ac:dyDescent="0.3">
      <c r="A12" t="s">
        <v>41</v>
      </c>
      <c r="B12" s="1">
        <v>45713</v>
      </c>
      <c r="C12" t="s">
        <v>9</v>
      </c>
      <c r="D12" t="s">
        <v>14</v>
      </c>
      <c r="E12" t="s">
        <v>15</v>
      </c>
      <c r="F12">
        <v>4</v>
      </c>
      <c r="G12">
        <v>5353</v>
      </c>
      <c r="H12">
        <v>5632</v>
      </c>
      <c r="I12">
        <f t="shared" si="0"/>
        <v>22528</v>
      </c>
      <c r="J12">
        <f t="shared" si="1"/>
        <v>21412</v>
      </c>
      <c r="K12">
        <f t="shared" si="2"/>
        <v>1116</v>
      </c>
    </row>
    <row r="13" spans="1:11" x14ac:dyDescent="0.3">
      <c r="A13" t="s">
        <v>61</v>
      </c>
      <c r="B13" s="1">
        <v>45680</v>
      </c>
      <c r="C13" t="s">
        <v>13</v>
      </c>
      <c r="D13" t="s">
        <v>10</v>
      </c>
      <c r="E13" t="s">
        <v>11</v>
      </c>
      <c r="F13">
        <v>1</v>
      </c>
      <c r="G13">
        <v>22311</v>
      </c>
      <c r="H13">
        <v>26713</v>
      </c>
      <c r="I13">
        <f t="shared" si="0"/>
        <v>26713</v>
      </c>
      <c r="J13">
        <f t="shared" si="1"/>
        <v>22311</v>
      </c>
      <c r="K13">
        <f t="shared" si="2"/>
        <v>4402</v>
      </c>
    </row>
    <row r="14" spans="1:11" x14ac:dyDescent="0.3">
      <c r="A14" t="s">
        <v>49</v>
      </c>
      <c r="B14" s="1">
        <v>45828</v>
      </c>
      <c r="C14" t="s">
        <v>33</v>
      </c>
      <c r="D14" t="s">
        <v>10</v>
      </c>
      <c r="E14" t="s">
        <v>11</v>
      </c>
      <c r="F14">
        <v>2</v>
      </c>
      <c r="G14">
        <v>11457</v>
      </c>
      <c r="H14">
        <v>14728</v>
      </c>
      <c r="I14">
        <f t="shared" si="0"/>
        <v>29456</v>
      </c>
      <c r="J14">
        <f t="shared" si="1"/>
        <v>22914</v>
      </c>
      <c r="K14">
        <f t="shared" si="2"/>
        <v>6542</v>
      </c>
    </row>
    <row r="15" spans="1:11" x14ac:dyDescent="0.3">
      <c r="A15" t="s">
        <v>43</v>
      </c>
      <c r="B15" s="1">
        <v>45798</v>
      </c>
      <c r="C15" t="s">
        <v>33</v>
      </c>
      <c r="D15" t="s">
        <v>14</v>
      </c>
      <c r="E15" t="s">
        <v>31</v>
      </c>
      <c r="F15">
        <v>3</v>
      </c>
      <c r="G15">
        <v>7989</v>
      </c>
      <c r="H15">
        <v>8649</v>
      </c>
      <c r="I15">
        <f t="shared" si="0"/>
        <v>25947</v>
      </c>
      <c r="J15">
        <f t="shared" si="1"/>
        <v>23967</v>
      </c>
      <c r="K15">
        <f t="shared" si="2"/>
        <v>1980</v>
      </c>
    </row>
    <row r="16" spans="1:11" x14ac:dyDescent="0.3">
      <c r="A16" t="s">
        <v>47</v>
      </c>
      <c r="B16" s="1">
        <v>45836</v>
      </c>
      <c r="C16" t="s">
        <v>9</v>
      </c>
      <c r="D16" t="s">
        <v>10</v>
      </c>
      <c r="E16" t="s">
        <v>34</v>
      </c>
      <c r="F16">
        <v>5</v>
      </c>
      <c r="G16">
        <v>5898</v>
      </c>
      <c r="H16">
        <v>9221</v>
      </c>
      <c r="I16">
        <f t="shared" si="0"/>
        <v>46105</v>
      </c>
      <c r="J16">
        <f t="shared" si="1"/>
        <v>29490</v>
      </c>
      <c r="K16">
        <f t="shared" si="2"/>
        <v>16615</v>
      </c>
    </row>
    <row r="17" spans="1:11" x14ac:dyDescent="0.3">
      <c r="A17" t="s">
        <v>46</v>
      </c>
      <c r="B17" s="1">
        <v>45791</v>
      </c>
      <c r="C17" t="s">
        <v>23</v>
      </c>
      <c r="D17" t="s">
        <v>10</v>
      </c>
      <c r="E17" t="s">
        <v>24</v>
      </c>
      <c r="F17">
        <v>5</v>
      </c>
      <c r="G17">
        <v>6191</v>
      </c>
      <c r="H17">
        <v>6445</v>
      </c>
      <c r="I17">
        <f t="shared" si="0"/>
        <v>32225</v>
      </c>
      <c r="J17">
        <f t="shared" si="1"/>
        <v>30955</v>
      </c>
      <c r="K17">
        <f t="shared" si="2"/>
        <v>1270</v>
      </c>
    </row>
    <row r="18" spans="1:11" x14ac:dyDescent="0.3">
      <c r="A18" t="s">
        <v>30</v>
      </c>
      <c r="B18" s="1">
        <v>45680</v>
      </c>
      <c r="C18" t="s">
        <v>26</v>
      </c>
      <c r="D18" t="s">
        <v>14</v>
      </c>
      <c r="E18" t="s">
        <v>31</v>
      </c>
      <c r="F18">
        <v>7</v>
      </c>
      <c r="G18">
        <v>5606</v>
      </c>
      <c r="H18">
        <v>8288</v>
      </c>
      <c r="I18">
        <f t="shared" si="0"/>
        <v>58016</v>
      </c>
      <c r="J18">
        <f t="shared" si="1"/>
        <v>39242</v>
      </c>
      <c r="K18">
        <f t="shared" si="2"/>
        <v>18774</v>
      </c>
    </row>
    <row r="19" spans="1:11" x14ac:dyDescent="0.3">
      <c r="A19" t="s">
        <v>51</v>
      </c>
      <c r="B19" s="1">
        <v>45778</v>
      </c>
      <c r="C19" t="s">
        <v>23</v>
      </c>
      <c r="D19" t="s">
        <v>14</v>
      </c>
      <c r="E19" t="s">
        <v>27</v>
      </c>
      <c r="F19">
        <v>2</v>
      </c>
      <c r="G19">
        <v>20683</v>
      </c>
      <c r="H19">
        <v>24619</v>
      </c>
      <c r="I19">
        <f t="shared" si="0"/>
        <v>49238</v>
      </c>
      <c r="J19">
        <f t="shared" si="1"/>
        <v>41366</v>
      </c>
      <c r="K19">
        <f t="shared" si="2"/>
        <v>7872</v>
      </c>
    </row>
    <row r="20" spans="1:11" x14ac:dyDescent="0.3">
      <c r="A20" t="s">
        <v>54</v>
      </c>
      <c r="B20" s="1">
        <v>45810</v>
      </c>
      <c r="C20" t="s">
        <v>26</v>
      </c>
      <c r="D20" t="s">
        <v>14</v>
      </c>
      <c r="E20" t="s">
        <v>31</v>
      </c>
      <c r="F20">
        <v>8</v>
      </c>
      <c r="G20">
        <v>5359</v>
      </c>
      <c r="H20">
        <v>9246</v>
      </c>
      <c r="I20">
        <f t="shared" si="0"/>
        <v>73968</v>
      </c>
      <c r="J20">
        <f t="shared" si="1"/>
        <v>42872</v>
      </c>
      <c r="K20">
        <f t="shared" si="2"/>
        <v>31096</v>
      </c>
    </row>
    <row r="21" spans="1:11" x14ac:dyDescent="0.3">
      <c r="A21" t="s">
        <v>59</v>
      </c>
      <c r="B21" s="1">
        <v>45836</v>
      </c>
      <c r="C21" t="s">
        <v>9</v>
      </c>
      <c r="D21" t="s">
        <v>14</v>
      </c>
      <c r="E21" t="s">
        <v>15</v>
      </c>
      <c r="F21">
        <v>3</v>
      </c>
      <c r="G21">
        <v>15643</v>
      </c>
      <c r="H21">
        <v>17474</v>
      </c>
      <c r="I21">
        <f t="shared" si="0"/>
        <v>52422</v>
      </c>
      <c r="J21">
        <f t="shared" si="1"/>
        <v>46929</v>
      </c>
      <c r="K21">
        <f t="shared" si="2"/>
        <v>5493</v>
      </c>
    </row>
    <row r="22" spans="1:11" x14ac:dyDescent="0.3">
      <c r="A22" t="s">
        <v>38</v>
      </c>
      <c r="B22" s="1">
        <v>45777</v>
      </c>
      <c r="C22" t="s">
        <v>33</v>
      </c>
      <c r="D22" t="s">
        <v>14</v>
      </c>
      <c r="E22" t="s">
        <v>31</v>
      </c>
      <c r="F22">
        <v>8</v>
      </c>
      <c r="G22">
        <v>6181</v>
      </c>
      <c r="H22">
        <v>10996</v>
      </c>
      <c r="I22">
        <f t="shared" si="0"/>
        <v>87968</v>
      </c>
      <c r="J22">
        <f t="shared" si="1"/>
        <v>49448</v>
      </c>
      <c r="K22">
        <f t="shared" si="2"/>
        <v>38520</v>
      </c>
    </row>
    <row r="23" spans="1:11" x14ac:dyDescent="0.3">
      <c r="A23" t="s">
        <v>57</v>
      </c>
      <c r="B23" s="1">
        <v>45721</v>
      </c>
      <c r="C23" t="s">
        <v>13</v>
      </c>
      <c r="D23" t="s">
        <v>10</v>
      </c>
      <c r="E23" t="s">
        <v>11</v>
      </c>
      <c r="F23">
        <v>2</v>
      </c>
      <c r="G23">
        <v>24845</v>
      </c>
      <c r="H23">
        <v>26996</v>
      </c>
      <c r="I23">
        <f t="shared" si="0"/>
        <v>53992</v>
      </c>
      <c r="J23">
        <f t="shared" si="1"/>
        <v>49690</v>
      </c>
      <c r="K23">
        <f t="shared" si="2"/>
        <v>4302</v>
      </c>
    </row>
    <row r="24" spans="1:11" x14ac:dyDescent="0.3">
      <c r="A24" t="s">
        <v>52</v>
      </c>
      <c r="B24" s="1">
        <v>45796</v>
      </c>
      <c r="C24" t="s">
        <v>9</v>
      </c>
      <c r="D24" t="s">
        <v>17</v>
      </c>
      <c r="E24" t="s">
        <v>29</v>
      </c>
      <c r="F24">
        <v>2</v>
      </c>
      <c r="G24">
        <v>27772</v>
      </c>
      <c r="H24">
        <v>32502</v>
      </c>
      <c r="I24">
        <f t="shared" si="0"/>
        <v>65004</v>
      </c>
      <c r="J24">
        <f t="shared" si="1"/>
        <v>55544</v>
      </c>
      <c r="K24">
        <f t="shared" si="2"/>
        <v>9460</v>
      </c>
    </row>
    <row r="25" spans="1:11" x14ac:dyDescent="0.3">
      <c r="A25" t="s">
        <v>58</v>
      </c>
      <c r="B25" s="1">
        <v>45813</v>
      </c>
      <c r="C25" t="s">
        <v>26</v>
      </c>
      <c r="D25" t="s">
        <v>14</v>
      </c>
      <c r="E25" t="s">
        <v>31</v>
      </c>
      <c r="F25">
        <v>4</v>
      </c>
      <c r="G25">
        <v>14129</v>
      </c>
      <c r="H25">
        <v>17526</v>
      </c>
      <c r="I25">
        <f t="shared" si="0"/>
        <v>70104</v>
      </c>
      <c r="J25">
        <f t="shared" si="1"/>
        <v>56516</v>
      </c>
      <c r="K25">
        <f t="shared" si="2"/>
        <v>13588</v>
      </c>
    </row>
    <row r="26" spans="1:11" x14ac:dyDescent="0.3">
      <c r="A26" t="s">
        <v>60</v>
      </c>
      <c r="B26" s="1">
        <v>45722</v>
      </c>
      <c r="C26" t="s">
        <v>13</v>
      </c>
      <c r="D26" t="s">
        <v>10</v>
      </c>
      <c r="E26" t="s">
        <v>11</v>
      </c>
      <c r="F26">
        <v>3</v>
      </c>
      <c r="G26">
        <v>19664</v>
      </c>
      <c r="H26">
        <v>23427</v>
      </c>
      <c r="I26">
        <f t="shared" si="0"/>
        <v>70281</v>
      </c>
      <c r="J26">
        <f t="shared" si="1"/>
        <v>58992</v>
      </c>
      <c r="K26">
        <f t="shared" si="2"/>
        <v>11289</v>
      </c>
    </row>
    <row r="27" spans="1:11" x14ac:dyDescent="0.3">
      <c r="A27" t="s">
        <v>12</v>
      </c>
      <c r="B27" s="1">
        <v>45661</v>
      </c>
      <c r="C27" t="s">
        <v>13</v>
      </c>
      <c r="D27" t="s">
        <v>14</v>
      </c>
      <c r="E27" t="s">
        <v>15</v>
      </c>
      <c r="F27">
        <v>3</v>
      </c>
      <c r="G27">
        <v>20943</v>
      </c>
      <c r="H27">
        <v>23794</v>
      </c>
      <c r="I27">
        <f t="shared" si="0"/>
        <v>71382</v>
      </c>
      <c r="J27">
        <f t="shared" si="1"/>
        <v>62829</v>
      </c>
      <c r="K27">
        <f t="shared" si="2"/>
        <v>8553</v>
      </c>
    </row>
    <row r="28" spans="1:11" x14ac:dyDescent="0.3">
      <c r="A28" t="s">
        <v>44</v>
      </c>
      <c r="B28" s="1">
        <v>45659</v>
      </c>
      <c r="C28" t="s">
        <v>26</v>
      </c>
      <c r="D28" t="s">
        <v>14</v>
      </c>
      <c r="E28" t="s">
        <v>27</v>
      </c>
      <c r="F28">
        <v>8</v>
      </c>
      <c r="G28">
        <v>8625</v>
      </c>
      <c r="H28">
        <v>12747</v>
      </c>
      <c r="I28">
        <f t="shared" si="0"/>
        <v>101976</v>
      </c>
      <c r="J28">
        <f t="shared" si="1"/>
        <v>69000</v>
      </c>
      <c r="K28">
        <f t="shared" si="2"/>
        <v>32976</v>
      </c>
    </row>
    <row r="29" spans="1:11" x14ac:dyDescent="0.3">
      <c r="A29" t="s">
        <v>42</v>
      </c>
      <c r="B29" s="1">
        <v>45852</v>
      </c>
      <c r="C29" t="s">
        <v>9</v>
      </c>
      <c r="D29" t="s">
        <v>10</v>
      </c>
      <c r="E29" t="s">
        <v>34</v>
      </c>
      <c r="F29">
        <v>4</v>
      </c>
      <c r="G29">
        <v>18646</v>
      </c>
      <c r="H29">
        <v>21605</v>
      </c>
      <c r="I29">
        <f t="shared" si="0"/>
        <v>86420</v>
      </c>
      <c r="J29">
        <f t="shared" si="1"/>
        <v>74584</v>
      </c>
      <c r="K29">
        <f t="shared" si="2"/>
        <v>11836</v>
      </c>
    </row>
    <row r="30" spans="1:11" x14ac:dyDescent="0.3">
      <c r="A30" t="s">
        <v>32</v>
      </c>
      <c r="B30" s="1">
        <v>45796</v>
      </c>
      <c r="C30" t="s">
        <v>33</v>
      </c>
      <c r="D30" t="s">
        <v>10</v>
      </c>
      <c r="E30" t="s">
        <v>34</v>
      </c>
      <c r="F30">
        <v>3</v>
      </c>
      <c r="G30">
        <v>27636</v>
      </c>
      <c r="H30">
        <v>32485</v>
      </c>
      <c r="I30">
        <f t="shared" si="0"/>
        <v>97455</v>
      </c>
      <c r="J30">
        <f t="shared" si="1"/>
        <v>82908</v>
      </c>
      <c r="K30">
        <f t="shared" si="2"/>
        <v>14547</v>
      </c>
    </row>
    <row r="31" spans="1:11" x14ac:dyDescent="0.3">
      <c r="A31" t="s">
        <v>55</v>
      </c>
      <c r="B31" s="1">
        <v>45774</v>
      </c>
      <c r="C31" t="s">
        <v>13</v>
      </c>
      <c r="D31" t="s">
        <v>10</v>
      </c>
      <c r="E31" t="s">
        <v>34</v>
      </c>
      <c r="F31">
        <v>5</v>
      </c>
      <c r="G31">
        <v>16667</v>
      </c>
      <c r="H31">
        <v>21176</v>
      </c>
      <c r="I31">
        <f t="shared" si="0"/>
        <v>105880</v>
      </c>
      <c r="J31">
        <f t="shared" si="1"/>
        <v>83335</v>
      </c>
      <c r="K31">
        <f t="shared" si="2"/>
        <v>22545</v>
      </c>
    </row>
    <row r="32" spans="1:11" x14ac:dyDescent="0.3">
      <c r="A32" t="s">
        <v>63</v>
      </c>
      <c r="B32" s="1">
        <v>45846</v>
      </c>
      <c r="C32" t="s">
        <v>13</v>
      </c>
      <c r="D32" t="s">
        <v>17</v>
      </c>
      <c r="E32" t="s">
        <v>18</v>
      </c>
      <c r="F32">
        <v>7</v>
      </c>
      <c r="G32">
        <v>12156</v>
      </c>
      <c r="H32">
        <v>14814</v>
      </c>
      <c r="I32">
        <f t="shared" si="0"/>
        <v>103698</v>
      </c>
      <c r="J32">
        <f t="shared" si="1"/>
        <v>85092</v>
      </c>
      <c r="K32">
        <f t="shared" si="2"/>
        <v>18606</v>
      </c>
    </row>
    <row r="33" spans="1:11" x14ac:dyDescent="0.3">
      <c r="A33" t="s">
        <v>39</v>
      </c>
      <c r="B33" s="1">
        <v>45853</v>
      </c>
      <c r="C33" t="s">
        <v>26</v>
      </c>
      <c r="D33" t="s">
        <v>14</v>
      </c>
      <c r="E33" t="s">
        <v>15</v>
      </c>
      <c r="F33">
        <v>6</v>
      </c>
      <c r="G33">
        <v>18528</v>
      </c>
      <c r="H33">
        <v>20149</v>
      </c>
      <c r="I33">
        <f t="shared" si="0"/>
        <v>120894</v>
      </c>
      <c r="J33">
        <f t="shared" si="1"/>
        <v>111168</v>
      </c>
      <c r="K33">
        <f t="shared" si="2"/>
        <v>9726</v>
      </c>
    </row>
    <row r="34" spans="1:11" x14ac:dyDescent="0.3">
      <c r="A34" t="s">
        <v>48</v>
      </c>
      <c r="B34" s="1">
        <v>45837</v>
      </c>
      <c r="C34" t="s">
        <v>26</v>
      </c>
      <c r="D34" t="s">
        <v>10</v>
      </c>
      <c r="E34" t="s">
        <v>11</v>
      </c>
      <c r="F34">
        <v>4</v>
      </c>
      <c r="G34">
        <v>28818</v>
      </c>
      <c r="H34">
        <v>33026</v>
      </c>
      <c r="I34">
        <f t="shared" si="0"/>
        <v>132104</v>
      </c>
      <c r="J34">
        <f t="shared" si="1"/>
        <v>115272</v>
      </c>
      <c r="K34">
        <f t="shared" si="2"/>
        <v>16832</v>
      </c>
    </row>
    <row r="35" spans="1:11" x14ac:dyDescent="0.3">
      <c r="A35" t="s">
        <v>25</v>
      </c>
      <c r="B35" s="1">
        <v>45782</v>
      </c>
      <c r="C35" t="s">
        <v>26</v>
      </c>
      <c r="D35" t="s">
        <v>14</v>
      </c>
      <c r="E35" t="s">
        <v>27</v>
      </c>
      <c r="F35">
        <v>6</v>
      </c>
      <c r="G35">
        <v>19360</v>
      </c>
      <c r="H35">
        <v>20298</v>
      </c>
      <c r="I35">
        <f t="shared" si="0"/>
        <v>121788</v>
      </c>
      <c r="J35">
        <f t="shared" si="1"/>
        <v>116160</v>
      </c>
      <c r="K35">
        <f t="shared" si="2"/>
        <v>5628</v>
      </c>
    </row>
    <row r="36" spans="1:11" x14ac:dyDescent="0.3">
      <c r="A36" t="s">
        <v>8</v>
      </c>
      <c r="B36" s="1">
        <v>45812</v>
      </c>
      <c r="C36" t="s">
        <v>9</v>
      </c>
      <c r="D36" t="s">
        <v>10</v>
      </c>
      <c r="E36" t="s">
        <v>11</v>
      </c>
      <c r="F36">
        <v>5</v>
      </c>
      <c r="G36">
        <v>24862</v>
      </c>
      <c r="H36">
        <v>26358</v>
      </c>
      <c r="I36">
        <f t="shared" si="0"/>
        <v>131790</v>
      </c>
      <c r="J36">
        <f t="shared" si="1"/>
        <v>124310</v>
      </c>
      <c r="K36">
        <f t="shared" si="2"/>
        <v>7480</v>
      </c>
    </row>
    <row r="37" spans="1:11" x14ac:dyDescent="0.3">
      <c r="A37" t="s">
        <v>37</v>
      </c>
      <c r="B37" s="1">
        <v>45800</v>
      </c>
      <c r="C37" t="s">
        <v>33</v>
      </c>
      <c r="D37" t="s">
        <v>10</v>
      </c>
      <c r="E37" t="s">
        <v>34</v>
      </c>
      <c r="F37">
        <v>6</v>
      </c>
      <c r="G37">
        <v>21318</v>
      </c>
      <c r="H37">
        <v>25986</v>
      </c>
      <c r="I37">
        <f t="shared" si="0"/>
        <v>155916</v>
      </c>
      <c r="J37">
        <f t="shared" si="1"/>
        <v>127908</v>
      </c>
      <c r="K37">
        <f t="shared" si="2"/>
        <v>28008</v>
      </c>
    </row>
    <row r="38" spans="1:11" x14ac:dyDescent="0.3">
      <c r="A38" t="s">
        <v>53</v>
      </c>
      <c r="B38" s="1">
        <v>45733</v>
      </c>
      <c r="C38" t="s">
        <v>33</v>
      </c>
      <c r="D38" t="s">
        <v>17</v>
      </c>
      <c r="E38" t="s">
        <v>29</v>
      </c>
      <c r="F38">
        <v>8</v>
      </c>
      <c r="G38">
        <v>16896</v>
      </c>
      <c r="H38">
        <v>18637</v>
      </c>
      <c r="I38">
        <f t="shared" si="0"/>
        <v>149096</v>
      </c>
      <c r="J38">
        <f t="shared" si="1"/>
        <v>135168</v>
      </c>
      <c r="K38">
        <f t="shared" si="2"/>
        <v>13928</v>
      </c>
    </row>
    <row r="39" spans="1:11" x14ac:dyDescent="0.3">
      <c r="A39" t="s">
        <v>40</v>
      </c>
      <c r="B39" s="1">
        <v>45858</v>
      </c>
      <c r="C39" t="s">
        <v>26</v>
      </c>
      <c r="D39" t="s">
        <v>14</v>
      </c>
      <c r="E39" t="s">
        <v>27</v>
      </c>
      <c r="F39">
        <v>6</v>
      </c>
      <c r="G39">
        <v>25010</v>
      </c>
      <c r="H39">
        <v>28359</v>
      </c>
      <c r="I39">
        <f t="shared" si="0"/>
        <v>170154</v>
      </c>
      <c r="J39">
        <f t="shared" si="1"/>
        <v>150060</v>
      </c>
      <c r="K39">
        <f t="shared" si="2"/>
        <v>20094</v>
      </c>
    </row>
    <row r="40" spans="1:11" x14ac:dyDescent="0.3">
      <c r="A40" t="s">
        <v>62</v>
      </c>
      <c r="B40" s="1">
        <v>45793</v>
      </c>
      <c r="C40" t="s">
        <v>13</v>
      </c>
      <c r="D40" t="s">
        <v>14</v>
      </c>
      <c r="E40" t="s">
        <v>31</v>
      </c>
      <c r="F40">
        <v>7</v>
      </c>
      <c r="G40">
        <v>28217</v>
      </c>
      <c r="H40">
        <v>28698</v>
      </c>
      <c r="I40">
        <f t="shared" si="0"/>
        <v>200886</v>
      </c>
      <c r="J40">
        <f t="shared" si="1"/>
        <v>197519</v>
      </c>
      <c r="K40">
        <f t="shared" si="2"/>
        <v>3367</v>
      </c>
    </row>
    <row r="41" spans="1:11" x14ac:dyDescent="0.3">
      <c r="A41" t="s">
        <v>50</v>
      </c>
      <c r="B41" s="1">
        <v>45691</v>
      </c>
      <c r="C41" t="s">
        <v>13</v>
      </c>
      <c r="D41" t="s">
        <v>14</v>
      </c>
      <c r="E41" t="s">
        <v>27</v>
      </c>
      <c r="F41">
        <v>8</v>
      </c>
      <c r="G41">
        <v>28399</v>
      </c>
      <c r="H41">
        <v>31847</v>
      </c>
      <c r="I41">
        <f t="shared" si="0"/>
        <v>254776</v>
      </c>
      <c r="J41">
        <f t="shared" si="1"/>
        <v>227192</v>
      </c>
      <c r="K41">
        <f t="shared" si="2"/>
        <v>27584</v>
      </c>
    </row>
  </sheetData>
  <sortState xmlns:xlrd2="http://schemas.microsoft.com/office/spreadsheetml/2017/richdata2" ref="A2:K41">
    <sortCondition ref="J2:J41"/>
  </sortState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31B76-2407-4093-A50D-26C31FA0DFFD}">
  <dimension ref="A1"/>
  <sheetViews>
    <sheetView workbookViewId="0">
      <selection activeCell="M7" sqref="M7"/>
    </sheetView>
  </sheetViews>
  <sheetFormatPr defaultRowHeight="14.4" x14ac:dyDescent="0.3"/>
  <cols>
    <col min="2" max="2" width="17" bestFit="1" customWidth="1"/>
    <col min="3" max="3" width="9.77734375" bestFit="1" customWidth="1"/>
    <col min="4" max="4" width="9.88671875" bestFit="1" customWidth="1"/>
    <col min="5" max="5" width="7.33203125" bestFit="1" customWidth="1"/>
    <col min="6" max="6" width="8" bestFit="1" customWidth="1"/>
    <col min="7" max="7" width="9.6640625" bestFit="1" customWidth="1"/>
    <col min="8" max="8" width="11.109375" bestFit="1" customWidth="1"/>
    <col min="9" max="9" width="10.21875" bestFit="1" customWidth="1"/>
    <col min="10" max="10" width="9.6640625" bestFit="1" customWidth="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5FD88-C208-47E9-A904-C7E79BB97F1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Sheet1</vt:lpstr>
      <vt:lpstr>Sheet3</vt:lpstr>
      <vt:lpstr>Sheet6</vt:lpstr>
      <vt:lpstr>Retail_Data</vt:lpstr>
      <vt:lpstr>Sheet5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kumar</cp:lastModifiedBy>
  <dcterms:created xsi:type="dcterms:W3CDTF">2026-02-18T10:15:54Z</dcterms:created>
  <dcterms:modified xsi:type="dcterms:W3CDTF">2026-02-18T11:01:25Z</dcterms:modified>
</cp:coreProperties>
</file>